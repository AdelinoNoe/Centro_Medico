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e\Documents\Minhas coisa\"/>
    </mc:Choice>
  </mc:AlternateContent>
  <xr:revisionPtr revIDLastSave="0" documentId="13_ncr:1_{79AF54B0-142C-40EB-961C-7652F281A987}" xr6:coauthVersionLast="47" xr6:coauthVersionMax="47" xr10:uidLastSave="{00000000-0000-0000-0000-000000000000}"/>
  <bookViews>
    <workbookView xWindow="-110" yWindow="-110" windowWidth="19420" windowHeight="10300" xr2:uid="{AD014BC4-91EA-4972-B52E-87D0090DC718}"/>
  </bookViews>
  <sheets>
    <sheet name="Serviços para Festas" sheetId="1" r:id="rId1"/>
    <sheet name="Técnico de SmartPh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G6" i="1"/>
  <c r="I4" i="1"/>
  <c r="G15" i="1"/>
  <c r="I12" i="1" s="1"/>
  <c r="G14" i="1"/>
  <c r="B6" i="1"/>
  <c r="G13" i="1"/>
  <c r="G12" i="1"/>
  <c r="G8" i="1"/>
  <c r="G7" i="1"/>
  <c r="B7" i="1"/>
  <c r="G4" i="1"/>
  <c r="G5" i="1"/>
  <c r="B4" i="1"/>
  <c r="B8" i="1"/>
  <c r="B5" i="1"/>
  <c r="F14" i="2"/>
  <c r="B14" i="2"/>
  <c r="B16" i="1"/>
  <c r="C17" i="1"/>
  <c r="H9" i="1"/>
  <c r="G16" i="1"/>
  <c r="H17" i="1"/>
  <c r="C9" i="1"/>
  <c r="D12" i="1" l="1"/>
  <c r="D4" i="1"/>
  <c r="G9" i="1"/>
  <c r="B9" i="1"/>
  <c r="B17" i="1"/>
  <c r="G17" i="1"/>
</calcChain>
</file>

<file path=xl/sharedStrings.xml><?xml version="1.0" encoding="utf-8"?>
<sst xmlns="http://schemas.openxmlformats.org/spreadsheetml/2006/main" count="52" uniqueCount="22">
  <si>
    <t>Gelado Gourmet</t>
  </si>
  <si>
    <t>Pipoca</t>
  </si>
  <si>
    <t>Banana Chips</t>
  </si>
  <si>
    <t>Hamburguer</t>
  </si>
  <si>
    <t>Cachorro Quente</t>
  </si>
  <si>
    <t>Total</t>
  </si>
  <si>
    <t>Modelos</t>
  </si>
  <si>
    <t>X</t>
  </si>
  <si>
    <t>XR</t>
  </si>
  <si>
    <t>XS MAX</t>
  </si>
  <si>
    <t>12 Pro</t>
  </si>
  <si>
    <t>12 Pro Max</t>
  </si>
  <si>
    <t>13 Pro</t>
  </si>
  <si>
    <t>14 Pro</t>
  </si>
  <si>
    <t>Quantidade</t>
  </si>
  <si>
    <t>Preço</t>
  </si>
  <si>
    <t>Iphone Visor</t>
  </si>
  <si>
    <t>Iphone Bateria</t>
  </si>
  <si>
    <t>Plano Cassule</t>
  </si>
  <si>
    <t xml:space="preserve">Plano Cota </t>
  </si>
  <si>
    <t>Plano Cassule Pro Max</t>
  </si>
  <si>
    <t>Plano Cota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</si>
</sst>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[$AOA]_-;\-* #,##0.00\ [$AOA]_-;_-* &quot;-&quot;??\ [$AOA]_-;_-@_-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3" borderId="1" xfId="0" applyFill="1" applyBorder="1"/>
    <xf numFmtId="165" fontId="0" fillId="3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/>
    <xf numFmtId="0" fontId="0" fillId="5" borderId="1" xfId="0" applyFill="1" applyBorder="1" applyAlignment="1">
      <alignment horizontal="right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558B-80BD-49B6-9FA7-1A6E15C3D1B7}">
  <dimension ref="A3:K17"/>
  <sheetViews>
    <sheetView tabSelected="1" topLeftCell="A2" workbookViewId="0">
      <selection activeCell="E9" sqref="E9"/>
    </sheetView>
  </sheetViews>
  <sheetFormatPr defaultRowHeight="14.5" x14ac:dyDescent="0.35"/>
  <cols>
    <col min="1" max="1" width="14.81640625" bestFit="1" customWidth="1"/>
    <col min="2" max="2" width="15" bestFit="1" customWidth="1"/>
    <col min="3" max="3" width="11.08984375" bestFit="1" customWidth="1"/>
    <col min="4" max="4" width="15" bestFit="1" customWidth="1"/>
    <col min="5" max="6" width="14.81640625" bestFit="1" customWidth="1"/>
    <col min="7" max="7" width="15" bestFit="1" customWidth="1"/>
    <col min="8" max="8" width="11.08984375" bestFit="1" customWidth="1"/>
    <col min="9" max="9" width="15" bestFit="1" customWidth="1"/>
    <col min="10" max="10" width="14.81640625" bestFit="1" customWidth="1"/>
    <col min="11" max="11" width="15" bestFit="1" customWidth="1"/>
    <col min="12" max="12" width="11.08984375" bestFit="1" customWidth="1"/>
  </cols>
  <sheetData>
    <row r="3" spans="1:11" x14ac:dyDescent="0.35">
      <c r="A3" s="4" t="s">
        <v>18</v>
      </c>
      <c r="B3" s="4"/>
      <c r="C3" s="4"/>
      <c r="F3" s="4" t="s">
        <v>20</v>
      </c>
      <c r="G3" s="4"/>
      <c r="H3" s="4"/>
    </row>
    <row r="4" spans="1:11" x14ac:dyDescent="0.35">
      <c r="A4" s="2" t="s">
        <v>0</v>
      </c>
      <c r="B4" s="3">
        <f>300*25</f>
        <v>7500</v>
      </c>
      <c r="C4" s="2">
        <v>25</v>
      </c>
      <c r="D4" s="11">
        <f>SUM(B4:B8)</f>
        <v>117500</v>
      </c>
      <c r="F4" s="2" t="s">
        <v>0</v>
      </c>
      <c r="G4" s="3">
        <f>300*50</f>
        <v>15000</v>
      </c>
      <c r="H4" s="2">
        <v>50</v>
      </c>
      <c r="I4" s="11">
        <f>SUM(G4:G8)</f>
        <v>235000</v>
      </c>
    </row>
    <row r="5" spans="1:11" x14ac:dyDescent="0.35">
      <c r="A5" s="2" t="s">
        <v>1</v>
      </c>
      <c r="B5" s="3">
        <f>50*100</f>
        <v>5000</v>
      </c>
      <c r="C5" s="2">
        <v>100</v>
      </c>
      <c r="D5" s="11"/>
      <c r="F5" s="2" t="s">
        <v>1</v>
      </c>
      <c r="G5" s="3">
        <f>50*200</f>
        <v>10000</v>
      </c>
      <c r="H5" s="2">
        <v>200</v>
      </c>
      <c r="I5" s="11"/>
    </row>
    <row r="6" spans="1:11" x14ac:dyDescent="0.35">
      <c r="A6" s="2" t="s">
        <v>2</v>
      </c>
      <c r="B6" s="3">
        <f>25*200</f>
        <v>5000</v>
      </c>
      <c r="C6" s="2">
        <v>25</v>
      </c>
      <c r="D6" s="11"/>
      <c r="F6" s="2" t="s">
        <v>2</v>
      </c>
      <c r="G6" s="3">
        <f>50*200</f>
        <v>10000</v>
      </c>
      <c r="H6" s="2">
        <v>50</v>
      </c>
      <c r="I6" s="11"/>
    </row>
    <row r="7" spans="1:11" x14ac:dyDescent="0.35">
      <c r="A7" s="2" t="s">
        <v>3</v>
      </c>
      <c r="B7" s="3">
        <f>25*2500</f>
        <v>62500</v>
      </c>
      <c r="C7" s="2">
        <v>25</v>
      </c>
      <c r="F7" s="2" t="s">
        <v>3</v>
      </c>
      <c r="G7" s="3">
        <f>50*2500</f>
        <v>125000</v>
      </c>
      <c r="H7" s="2">
        <v>50</v>
      </c>
    </row>
    <row r="8" spans="1:11" x14ac:dyDescent="0.35">
      <c r="A8" s="2" t="s">
        <v>4</v>
      </c>
      <c r="B8" s="3">
        <f>25*1500</f>
        <v>37500</v>
      </c>
      <c r="C8" s="2">
        <v>25</v>
      </c>
      <c r="F8" s="2" t="s">
        <v>4</v>
      </c>
      <c r="G8" s="3">
        <f>50*1500</f>
        <v>75000</v>
      </c>
      <c r="H8" s="2">
        <v>50</v>
      </c>
    </row>
    <row r="9" spans="1:11" x14ac:dyDescent="0.35">
      <c r="A9" s="2" t="s">
        <v>5</v>
      </c>
      <c r="B9" s="3">
        <f>SUM(B4:B8)</f>
        <v>117500</v>
      </c>
      <c r="C9" s="2">
        <f>SUM(C4:C8)</f>
        <v>200</v>
      </c>
      <c r="F9" s="2" t="s">
        <v>5</v>
      </c>
      <c r="G9" s="3">
        <f>SUM(G4:G8)</f>
        <v>235000</v>
      </c>
      <c r="H9" s="2">
        <f>SUM(H4:H8)</f>
        <v>400</v>
      </c>
    </row>
    <row r="10" spans="1:11" x14ac:dyDescent="0.35">
      <c r="C10" s="1"/>
    </row>
    <row r="11" spans="1:11" x14ac:dyDescent="0.35">
      <c r="A11" s="4" t="s">
        <v>19</v>
      </c>
      <c r="B11" s="4"/>
      <c r="C11" s="4"/>
      <c r="F11" s="4" t="s">
        <v>21</v>
      </c>
      <c r="G11" s="4"/>
      <c r="H11" s="4"/>
    </row>
    <row r="12" spans="1:11" x14ac:dyDescent="0.35">
      <c r="A12" s="2" t="s">
        <v>0</v>
      </c>
      <c r="B12" s="3">
        <f>300*100</f>
        <v>30000</v>
      </c>
      <c r="C12" s="2">
        <v>100</v>
      </c>
      <c r="D12" s="12">
        <f>SUM(B12:B16)</f>
        <v>465000</v>
      </c>
      <c r="F12" s="2" t="s">
        <v>0</v>
      </c>
      <c r="G12" s="3">
        <f>300*75</f>
        <v>22500</v>
      </c>
      <c r="H12" s="2">
        <v>75</v>
      </c>
      <c r="I12" s="12">
        <f>SUM(G12:G16)</f>
        <v>350000</v>
      </c>
    </row>
    <row r="13" spans="1:11" x14ac:dyDescent="0.35">
      <c r="A13" s="2" t="s">
        <v>1</v>
      </c>
      <c r="B13" s="3">
        <f>50*300</f>
        <v>15000</v>
      </c>
      <c r="C13" s="2">
        <v>300</v>
      </c>
      <c r="D13" s="12"/>
      <c r="E13" s="1"/>
      <c r="F13" s="2" t="s">
        <v>1</v>
      </c>
      <c r="G13" s="3">
        <f>50*250</f>
        <v>12500</v>
      </c>
      <c r="H13" s="2">
        <v>250</v>
      </c>
      <c r="I13" s="12"/>
      <c r="K13" s="13"/>
    </row>
    <row r="14" spans="1:11" x14ac:dyDescent="0.35">
      <c r="A14" s="2" t="s">
        <v>2</v>
      </c>
      <c r="B14" s="3">
        <f>100*200</f>
        <v>20000</v>
      </c>
      <c r="C14" s="2">
        <v>100</v>
      </c>
      <c r="D14" s="12"/>
      <c r="F14" s="2" t="s">
        <v>2</v>
      </c>
      <c r="G14" s="3">
        <f>75*200</f>
        <v>15000</v>
      </c>
      <c r="H14" s="2">
        <v>75</v>
      </c>
      <c r="I14" s="12"/>
    </row>
    <row r="15" spans="1:11" x14ac:dyDescent="0.35">
      <c r="A15" s="2" t="s">
        <v>3</v>
      </c>
      <c r="B15" s="3">
        <f>100*2500</f>
        <v>250000</v>
      </c>
      <c r="C15" s="2">
        <v>100</v>
      </c>
      <c r="F15" s="2" t="s">
        <v>3</v>
      </c>
      <c r="G15" s="3">
        <f>75*2500</f>
        <v>187500</v>
      </c>
      <c r="H15" s="2">
        <v>75</v>
      </c>
    </row>
    <row r="16" spans="1:11" x14ac:dyDescent="0.35">
      <c r="A16" s="2" t="s">
        <v>4</v>
      </c>
      <c r="B16" s="3">
        <f>100*1500</f>
        <v>150000</v>
      </c>
      <c r="C16" s="2">
        <v>50</v>
      </c>
      <c r="F16" s="2" t="s">
        <v>4</v>
      </c>
      <c r="G16" s="3">
        <f>75*1500</f>
        <v>112500</v>
      </c>
      <c r="H16" s="2">
        <v>75</v>
      </c>
      <c r="K16" s="13"/>
    </row>
    <row r="17" spans="1:10" x14ac:dyDescent="0.35">
      <c r="A17" s="2" t="s">
        <v>5</v>
      </c>
      <c r="B17" s="3">
        <f>SUM(B12:B16)</f>
        <v>465000</v>
      </c>
      <c r="C17" s="2">
        <f>SUM(C12:C16)</f>
        <v>650</v>
      </c>
      <c r="F17" s="2" t="s">
        <v>5</v>
      </c>
      <c r="G17" s="3">
        <f>SUM(G12:G16)</f>
        <v>350000</v>
      </c>
      <c r="H17" s="2">
        <f>SUM(H12:H16)</f>
        <v>550</v>
      </c>
      <c r="J17" s="13"/>
    </row>
  </sheetData>
  <mergeCells count="8">
    <mergeCell ref="I4:I6"/>
    <mergeCell ref="I12:I14"/>
    <mergeCell ref="D12:D14"/>
    <mergeCell ref="A3:C3"/>
    <mergeCell ref="F3:H3"/>
    <mergeCell ref="F11:H11"/>
    <mergeCell ref="A11:C11"/>
    <mergeCell ref="D4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25C2-D5EC-4CE1-9173-A228B869E991}">
  <dimension ref="A1:G14"/>
  <sheetViews>
    <sheetView workbookViewId="0">
      <selection activeCell="K10" sqref="K10"/>
    </sheetView>
  </sheetViews>
  <sheetFormatPr defaultRowHeight="14.5" x14ac:dyDescent="0.35"/>
  <cols>
    <col min="2" max="2" width="11.26953125" bestFit="1" customWidth="1"/>
    <col min="6" max="6" width="10.26953125" bestFit="1" customWidth="1"/>
  </cols>
  <sheetData>
    <row r="1" spans="1:7" x14ac:dyDescent="0.35">
      <c r="A1" s="5" t="s">
        <v>16</v>
      </c>
      <c r="B1" s="5"/>
      <c r="C1" s="5"/>
      <c r="E1" s="10" t="s">
        <v>17</v>
      </c>
      <c r="F1" s="10"/>
      <c r="G1" s="10"/>
    </row>
    <row r="2" spans="1:7" x14ac:dyDescent="0.35">
      <c r="A2" s="6" t="s">
        <v>6</v>
      </c>
      <c r="B2" s="7" t="s">
        <v>14</v>
      </c>
      <c r="C2" s="7" t="s">
        <v>15</v>
      </c>
      <c r="E2" s="8" t="s">
        <v>6</v>
      </c>
      <c r="F2" s="9" t="s">
        <v>14</v>
      </c>
      <c r="G2" s="9" t="s">
        <v>15</v>
      </c>
    </row>
    <row r="3" spans="1:7" x14ac:dyDescent="0.35">
      <c r="A3" s="8" t="s">
        <v>7</v>
      </c>
      <c r="B3" s="9">
        <v>5</v>
      </c>
      <c r="C3" s="9"/>
      <c r="E3" s="8" t="s">
        <v>7</v>
      </c>
      <c r="F3" s="9">
        <v>7</v>
      </c>
      <c r="G3" s="9"/>
    </row>
    <row r="4" spans="1:7" x14ac:dyDescent="0.35">
      <c r="A4" s="8" t="s">
        <v>8</v>
      </c>
      <c r="B4" s="9">
        <v>3</v>
      </c>
      <c r="C4" s="9"/>
      <c r="E4" s="8" t="s">
        <v>8</v>
      </c>
      <c r="F4" s="9">
        <v>5</v>
      </c>
      <c r="G4" s="9"/>
    </row>
    <row r="5" spans="1:7" x14ac:dyDescent="0.35">
      <c r="A5" s="8" t="s">
        <v>9</v>
      </c>
      <c r="B5" s="9">
        <v>3</v>
      </c>
      <c r="C5" s="9"/>
      <c r="E5" s="8" t="s">
        <v>9</v>
      </c>
      <c r="F5" s="9">
        <v>5</v>
      </c>
      <c r="G5" s="9"/>
    </row>
    <row r="6" spans="1:7" x14ac:dyDescent="0.35">
      <c r="A6" s="8">
        <v>11</v>
      </c>
      <c r="B6" s="9">
        <v>10</v>
      </c>
      <c r="C6" s="9"/>
      <c r="E6" s="8">
        <v>11</v>
      </c>
      <c r="F6" s="9">
        <v>10</v>
      </c>
      <c r="G6" s="9"/>
    </row>
    <row r="7" spans="1:7" x14ac:dyDescent="0.35">
      <c r="A7" s="8">
        <v>12</v>
      </c>
      <c r="B7" s="9">
        <v>5</v>
      </c>
      <c r="C7" s="9"/>
      <c r="E7" s="8">
        <v>12</v>
      </c>
      <c r="F7" s="9">
        <v>5</v>
      </c>
      <c r="G7" s="9"/>
    </row>
    <row r="8" spans="1:7" x14ac:dyDescent="0.35">
      <c r="A8" s="8" t="s">
        <v>10</v>
      </c>
      <c r="B8" s="9">
        <v>5</v>
      </c>
      <c r="C8" s="9"/>
      <c r="E8" s="8" t="s">
        <v>10</v>
      </c>
      <c r="F8" s="9">
        <v>5</v>
      </c>
      <c r="G8" s="9"/>
    </row>
    <row r="9" spans="1:7" x14ac:dyDescent="0.35">
      <c r="A9" s="8" t="s">
        <v>11</v>
      </c>
      <c r="B9" s="9">
        <v>3</v>
      </c>
      <c r="C9" s="9"/>
      <c r="E9" s="8" t="s">
        <v>11</v>
      </c>
      <c r="F9" s="9">
        <v>0</v>
      </c>
      <c r="G9" s="9"/>
    </row>
    <row r="10" spans="1:7" x14ac:dyDescent="0.35">
      <c r="A10" s="8">
        <v>13</v>
      </c>
      <c r="B10" s="9">
        <v>5</v>
      </c>
      <c r="C10" s="9"/>
      <c r="E10" s="8">
        <v>13</v>
      </c>
      <c r="F10" s="9">
        <v>5</v>
      </c>
      <c r="G10" s="9"/>
    </row>
    <row r="11" spans="1:7" x14ac:dyDescent="0.35">
      <c r="A11" s="8" t="s">
        <v>12</v>
      </c>
      <c r="B11" s="9">
        <v>3</v>
      </c>
      <c r="C11" s="9"/>
      <c r="E11" s="8" t="s">
        <v>12</v>
      </c>
      <c r="F11" s="9">
        <v>0</v>
      </c>
      <c r="G11" s="9"/>
    </row>
    <row r="12" spans="1:7" x14ac:dyDescent="0.35">
      <c r="A12" s="8">
        <v>14</v>
      </c>
      <c r="B12" s="9">
        <v>5</v>
      </c>
      <c r="C12" s="9"/>
      <c r="E12" s="8">
        <v>14</v>
      </c>
      <c r="F12" s="9">
        <v>5</v>
      </c>
      <c r="G12" s="9"/>
    </row>
    <row r="13" spans="1:7" x14ac:dyDescent="0.35">
      <c r="A13" s="8" t="s">
        <v>13</v>
      </c>
      <c r="B13" s="9">
        <v>3</v>
      </c>
      <c r="C13" s="9"/>
      <c r="E13" s="8" t="s">
        <v>13</v>
      </c>
      <c r="F13" s="9">
        <v>5</v>
      </c>
      <c r="G13" s="9"/>
    </row>
    <row r="14" spans="1:7" x14ac:dyDescent="0.35">
      <c r="A14" s="8" t="s">
        <v>5</v>
      </c>
      <c r="B14" s="9">
        <f>SUM(B3:B13)</f>
        <v>50</v>
      </c>
      <c r="C14" s="9"/>
      <c r="E14" s="8" t="s">
        <v>5</v>
      </c>
      <c r="F14" s="9">
        <f>SUM(F3:F13)</f>
        <v>52</v>
      </c>
      <c r="G14" s="9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Serviços para Festas</vt:lpstr>
      <vt:lpstr>Técnico de SmartPhone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Adelino Noé</dc:creator>
  <cp:lastModifiedBy>Adelino Noé</cp:lastModifiedBy>
  <dcterms:created xsi:type="dcterms:W3CDTF">2025-08-08T09:32:12Z</dcterms:created>
  <dcterms:modified xsi:type="dcterms:W3CDTF">2025-12-22T16:00:46Z</dcterms:modified>
</cp:coreProperties>
</file>